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eugene-oregon/Reports/"/>
    </mc:Choice>
  </mc:AlternateContent>
  <xr:revisionPtr revIDLastSave="93" documentId="8_{D045D36E-F6C0-4B8E-9F54-A5F8A086D4C6}" xr6:coauthVersionLast="47" xr6:coauthVersionMax="47" xr10:uidLastSave="{10593F5F-1C9D-4C4B-8ABD-3A919BAA152F}"/>
  <bookViews>
    <workbookView minimized="1" xWindow="65145" yWindow="360" windowWidth="21600" windowHeight="12645" xr2:uid="{00000000-000D-0000-FFFF-FFFF00000000}"/>
  </bookViews>
  <sheets>
    <sheet name="Data" sheetId="4" r:id="rId1"/>
    <sheet name="Cost Effectiveness" sheetId="2" r:id="rId2"/>
    <sheet name="Productivit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4" l="1"/>
  <c r="E39" i="4"/>
  <c r="C39" i="4"/>
  <c r="F38" i="4"/>
  <c r="E38" i="4"/>
  <c r="D38" i="4"/>
  <c r="C38" i="4"/>
  <c r="F32" i="4"/>
  <c r="C32" i="4"/>
  <c r="C31" i="4"/>
  <c r="F30" i="4"/>
  <c r="E30" i="4"/>
  <c r="D30" i="4"/>
  <c r="C30" i="4"/>
  <c r="G66" i="4"/>
  <c r="G65" i="4"/>
  <c r="G64" i="4"/>
  <c r="G63" i="4"/>
  <c r="G62" i="4"/>
  <c r="G61" i="4"/>
  <c r="G60" i="4"/>
  <c r="G59" i="4"/>
  <c r="F14" i="4"/>
  <c r="F33" i="4" s="1"/>
  <c r="E14" i="4"/>
  <c r="E33" i="4" s="1"/>
  <c r="D14" i="4"/>
  <c r="C14" i="4"/>
  <c r="C33" i="4" s="1"/>
  <c r="B14" i="4"/>
  <c r="G13" i="4"/>
  <c r="G12" i="4"/>
  <c r="G11" i="4"/>
  <c r="G10" i="4"/>
  <c r="G9" i="4"/>
  <c r="G8" i="4"/>
  <c r="G7" i="4"/>
  <c r="E32" i="4" l="1"/>
  <c r="G38" i="4"/>
  <c r="G39" i="4"/>
  <c r="G31" i="4" l="1"/>
  <c r="G30" i="4"/>
  <c r="G32" i="4"/>
  <c r="G14" i="4"/>
  <c r="G33" i="4"/>
</calcChain>
</file>

<file path=xl/sharedStrings.xml><?xml version="1.0" encoding="utf-8"?>
<sst xmlns="http://schemas.openxmlformats.org/spreadsheetml/2006/main" count="80" uniqueCount="38">
  <si>
    <t>Spending</t>
  </si>
  <si>
    <t>Category</t>
  </si>
  <si>
    <t>Q1</t>
  </si>
  <si>
    <t>Q2</t>
  </si>
  <si>
    <t>Q3</t>
  </si>
  <si>
    <t>Total</t>
  </si>
  <si>
    <t>Personnel</t>
  </si>
  <si>
    <t>Contractual Services</t>
  </si>
  <si>
    <t>Housing</t>
  </si>
  <si>
    <t>Equipment</t>
  </si>
  <si>
    <t>Supplies</t>
  </si>
  <si>
    <t>Training / Travel</t>
  </si>
  <si>
    <t>Admin</t>
  </si>
  <si>
    <t>Outcomes</t>
  </si>
  <si>
    <t>Staff Deployed</t>
  </si>
  <si>
    <t>Items Recovered</t>
  </si>
  <si>
    <t>Total Recovery Value</t>
  </si>
  <si>
    <t>Individuals Encountered</t>
  </si>
  <si>
    <t>Arrests</t>
  </si>
  <si>
    <t>Cited</t>
  </si>
  <si>
    <t>Referred to DA</t>
  </si>
  <si>
    <t>Cost Effectiveness</t>
  </si>
  <si>
    <t>Metrics</t>
  </si>
  <si>
    <t>Arrests Per $100,000 Spent</t>
  </si>
  <si>
    <t>Cost Per Arrest</t>
  </si>
  <si>
    <t>Cost Per Item Recovered</t>
  </si>
  <si>
    <t>Spending Per $1 Recovered</t>
  </si>
  <si>
    <t>Productivity</t>
  </si>
  <si>
    <t>Arrests Per Staff Deployed</t>
  </si>
  <si>
    <t>Avg Value Per Item Recovered</t>
  </si>
  <si>
    <t>Eugene Police - ORT Grant Spending / Results</t>
  </si>
  <si>
    <t>Q4</t>
  </si>
  <si>
    <t>Q5</t>
  </si>
  <si>
    <t>No Action Taken</t>
  </si>
  <si>
    <t>-</t>
  </si>
  <si>
    <t>Spending Per Item Recovered</t>
  </si>
  <si>
    <t>Spending Per Arrest</t>
  </si>
  <si>
    <t>Oregon Organized Retail Theft Grand, 2023-2025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</si>
</sst>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DD9D4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4">
    <xf numFmtId="0" fontId="0" fillId="0" borderId="0" xfId="0"/>
    <xf numFmtId="0" fontId="4" fillId="0" borderId="0" xfId="0" applyFont="1"/>
    <xf numFmtId="44" fontId="3" fillId="0" borderId="0" xfId="0" applyNumberFormat="1" applyFont="1"/>
    <xf numFmtId="44" fontId="0" fillId="0" borderId="0" xfId="1" applyFont="1"/>
    <xf numFmtId="0" fontId="2" fillId="0" borderId="0" xfId="0" applyFont="1"/>
    <xf numFmtId="0" fontId="7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6" fillId="0" borderId="5" xfId="0" applyFont="1" applyBorder="1"/>
    <xf numFmtId="44" fontId="0" fillId="0" borderId="1" xfId="1" applyFont="1" applyBorder="1"/>
    <xf numFmtId="44" fontId="0" fillId="2" borderId="6" xfId="1" applyFont="1" applyFill="1" applyBorder="1"/>
    <xf numFmtId="0" fontId="6" fillId="2" borderId="7" xfId="0" applyFont="1" applyFill="1" applyBorder="1"/>
    <xf numFmtId="44" fontId="0" fillId="2" borderId="8" xfId="0" applyNumberFormat="1" applyFill="1" applyBorder="1"/>
    <xf numFmtId="0" fontId="0" fillId="0" borderId="1" xfId="0" applyBorder="1"/>
    <xf numFmtId="0" fontId="0" fillId="2" borderId="6" xfId="0" applyFill="1" applyBorder="1"/>
    <xf numFmtId="0" fontId="6" fillId="0" borderId="7" xfId="0" applyFont="1" applyBorder="1"/>
    <xf numFmtId="0" fontId="0" fillId="0" borderId="8" xfId="0" applyBorder="1"/>
    <xf numFmtId="0" fontId="0" fillId="2" borderId="9" xfId="0" applyFill="1" applyBorder="1"/>
    <xf numFmtId="2" fontId="0" fillId="0" borderId="1" xfId="0" applyNumberFormat="1" applyBorder="1" applyAlignment="1">
      <alignment horizontal="right" indent="1"/>
    </xf>
    <xf numFmtId="2" fontId="0" fillId="0" borderId="1" xfId="1" applyNumberFormat="1" applyFont="1" applyBorder="1"/>
    <xf numFmtId="2" fontId="0" fillId="0" borderId="1" xfId="0" applyNumberFormat="1" applyBorder="1"/>
    <xf numFmtId="2" fontId="0" fillId="2" borderId="6" xfId="0" applyNumberFormat="1" applyFill="1" applyBorder="1"/>
    <xf numFmtId="44" fontId="0" fillId="0" borderId="1" xfId="1" applyFont="1" applyBorder="1" applyAlignment="1">
      <alignment horizontal="right" indent="1"/>
    </xf>
    <xf numFmtId="44" fontId="0" fillId="0" borderId="6" xfId="1" applyFont="1" applyBorder="1"/>
    <xf numFmtId="44" fontId="0" fillId="0" borderId="1" xfId="0" applyNumberFormat="1" applyBorder="1"/>
    <xf numFmtId="44" fontId="0" fillId="0" borderId="6" xfId="0" applyNumberFormat="1" applyBorder="1"/>
    <xf numFmtId="44" fontId="0" fillId="0" borderId="8" xfId="1" applyFont="1" applyBorder="1" applyAlignment="1">
      <alignment horizontal="right" indent="1"/>
    </xf>
    <xf numFmtId="44" fontId="0" fillId="0" borderId="8" xfId="0" applyNumberFormat="1" applyBorder="1"/>
    <xf numFmtId="44" fontId="0" fillId="0" borderId="9" xfId="0" applyNumberFormat="1" applyBorder="1"/>
    <xf numFmtId="2" fontId="0" fillId="0" borderId="6" xfId="0" applyNumberFormat="1" applyBorder="1"/>
    <xf numFmtId="44" fontId="0" fillId="0" borderId="8" xfId="1" applyFont="1" applyBorder="1"/>
    <xf numFmtId="44" fontId="0" fillId="0" borderId="9" xfId="1" applyFont="1" applyBorder="1"/>
    <xf numFmtId="44" fontId="2" fillId="0" borderId="1" xfId="1" applyFont="1" applyBorder="1"/>
    <xf numFmtId="44" fontId="2" fillId="0" borderId="3" xfId="1" applyFont="1" applyBorder="1"/>
    <xf numFmtId="44" fontId="2" fillId="2" borderId="8" xfId="1" applyFont="1" applyFill="1" applyBorder="1"/>
    <xf numFmtId="44" fontId="2" fillId="2" borderId="6" xfId="1" applyFont="1" applyFill="1" applyBorder="1"/>
    <xf numFmtId="44" fontId="2" fillId="2" borderId="4" xfId="1" applyFont="1" applyFill="1" applyBorder="1"/>
    <xf numFmtId="44" fontId="2" fillId="2" borderId="9" xfId="1" applyFont="1" applyFill="1" applyBorder="1"/>
    <xf numFmtId="14" fontId="1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</cellXfs>
  <cellStyles count="2">
    <cellStyle name="Currency" xfId="1" builtinId="4"/>
    <cellStyle name="Normal" xfId="0" builtinId="0"/>
  </cellStyles>
  <dxfs count="80">
    <dxf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family val="2"/>
      </font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family val="2"/>
      </font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family val="2"/>
      </font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34" formatCode="_(&quot;$&quot;* #,##0.00_);_(&quot;$&quot;* \(#,##0.00\);_(&quot;$&quot;* &quot;-&quot;??_);_(@_)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family val="2"/>
      </font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family val="2"/>
      </font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CDD9D4"/>
        </patternFill>
      </fill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scheme val="minor"/>
      </font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DD9D4"/>
          <bgColor rgb="FFCDD9D4"/>
        </patternFill>
      </fill>
    </dxf>
    <dxf>
      <fill>
        <patternFill patternType="solid">
          <fgColor rgb="FF356854"/>
          <bgColor rgb="FF356854"/>
        </patternFill>
      </fill>
    </dxf>
  </dxfs>
  <tableStyles count="4" defaultTableStyle="TableStyleMedium2" defaultPivotStyle="PivotStyleLight16">
    <tableStyle name="Data-style" pivot="0" count="4" xr9:uid="{00000000-0011-0000-FFFF-FFFF00000000}">
      <tableStyleElement type="headerRow" dxfId="79"/>
      <tableStyleElement type="totalRow" dxfId="78"/>
      <tableStyleElement type="firstRowStripe" dxfId="77"/>
      <tableStyleElement type="secondRowStripe" dxfId="76"/>
    </tableStyle>
    <tableStyle name="Data-style 2" pivot="0" count="3" xr9:uid="{00000000-0011-0000-FFFF-FFFF01000000}">
      <tableStyleElement type="headerRow" dxfId="75"/>
      <tableStyleElement type="firstRowStripe" dxfId="74"/>
      <tableStyleElement type="secondRowStripe" dxfId="73"/>
    </tableStyle>
    <tableStyle name="Data-style 3" pivot="0" count="3" xr9:uid="{00000000-0011-0000-FFFF-FFFF02000000}">
      <tableStyleElement type="headerRow" dxfId="72"/>
      <tableStyleElement type="firstRowStripe" dxfId="71"/>
      <tableStyleElement type="secondRowStripe" dxfId="70"/>
    </tableStyle>
    <tableStyle name="Data-style 4" pivot="0" count="3" xr9:uid="{00000000-0011-0000-FFFF-FFFF03000000}">
      <tableStyleElement type="headerRow" dxfId="69"/>
      <tableStyleElement type="firstRowStripe" dxfId="68"/>
      <tableStyleElement type="secondRowStripe" dxfId="67"/>
    </tableStyle>
  </tableStyles>
  <colors>
    <mruColors>
      <color rgb="FFCDD9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Spending by Category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Data!$B$6</c:f>
              <c:strCache>
                <c:ptCount val="1"/>
                <c:pt idx="0">
                  <c:v>Q1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Data!$A$7:$A$14</c15:sqref>
                  </c15:fullRef>
                </c:ext>
              </c:extLst>
              <c:f>Data!$A$7:$A$13</c:f>
              <c:strCache>
                <c:ptCount val="7"/>
                <c:pt idx="0">
                  <c:v>Personnel</c:v>
                </c:pt>
                <c:pt idx="1">
                  <c:v>Contractual Services</c:v>
                </c:pt>
                <c:pt idx="2">
                  <c:v>Housing</c:v>
                </c:pt>
                <c:pt idx="3">
                  <c:v>Equipment</c:v>
                </c:pt>
                <c:pt idx="4">
                  <c:v>Supplies</c:v>
                </c:pt>
                <c:pt idx="5">
                  <c:v>Training / Travel</c:v>
                </c:pt>
                <c:pt idx="6">
                  <c:v>Admin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Data!$B$7:$B$14</c15:sqref>
                  </c15:fullRef>
                </c:ext>
              </c:extLst>
              <c:f>Data!$B$7:$B$13</c:f>
              <c:numCache>
                <c:formatCode>_("$"* #,##0.00_);_("$"* \(#,##0.00\);_("$"* "-"??_);_(@_)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372-4582-A556-BA0B914D5152}"/>
            </c:ext>
          </c:extLst>
        </c:ser>
        <c:ser>
          <c:idx val="1"/>
          <c:order val="1"/>
          <c:tx>
            <c:strRef>
              <c:f>Data!$C$6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Data!$A$7:$A$14</c15:sqref>
                  </c15:fullRef>
                </c:ext>
              </c:extLst>
              <c:f>Data!$A$7:$A$13</c:f>
              <c:strCache>
                <c:ptCount val="7"/>
                <c:pt idx="0">
                  <c:v>Personnel</c:v>
                </c:pt>
                <c:pt idx="1">
                  <c:v>Contractual Services</c:v>
                </c:pt>
                <c:pt idx="2">
                  <c:v>Housing</c:v>
                </c:pt>
                <c:pt idx="3">
                  <c:v>Equipment</c:v>
                </c:pt>
                <c:pt idx="4">
                  <c:v>Supplies</c:v>
                </c:pt>
                <c:pt idx="5">
                  <c:v>Training / Travel</c:v>
                </c:pt>
                <c:pt idx="6">
                  <c:v>Admin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Data!$C$7:$C$14</c15:sqref>
                  </c15:fullRef>
                </c:ext>
              </c:extLst>
              <c:f>Data!$C$7:$C$13</c:f>
              <c:numCache>
                <c:formatCode>_("$"* #,##0.00_);_("$"* \(#,##0.00\);_("$"* "-"??_);_(@_)</c:formatCode>
                <c:ptCount val="7"/>
                <c:pt idx="0">
                  <c:v>6245.56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624.55999999999995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372-4582-A556-BA0B914D5152}"/>
            </c:ext>
          </c:extLst>
        </c:ser>
        <c:ser>
          <c:idx val="2"/>
          <c:order val="2"/>
          <c:tx>
            <c:strRef>
              <c:f>Data!$D$6</c:f>
              <c:strCache>
                <c:ptCount val="1"/>
                <c:pt idx="0">
                  <c:v>Q3</c:v>
                </c:pt>
              </c:strCache>
            </c:strRef>
          </c:tx>
          <c:spPr>
            <a:solidFill>
              <a:srgbClr val="196B2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Data!$A$7:$A$14</c15:sqref>
                  </c15:fullRef>
                </c:ext>
              </c:extLst>
              <c:f>Data!$A$7:$A$13</c:f>
              <c:strCache>
                <c:ptCount val="7"/>
                <c:pt idx="0">
                  <c:v>Personnel</c:v>
                </c:pt>
                <c:pt idx="1">
                  <c:v>Contractual Services</c:v>
                </c:pt>
                <c:pt idx="2">
                  <c:v>Housing</c:v>
                </c:pt>
                <c:pt idx="3">
                  <c:v>Equipment</c:v>
                </c:pt>
                <c:pt idx="4">
                  <c:v>Supplies</c:v>
                </c:pt>
                <c:pt idx="5">
                  <c:v>Training / Travel</c:v>
                </c:pt>
                <c:pt idx="6">
                  <c:v>Admin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Data!$D$7:$D$14</c15:sqref>
                  </c15:fullRef>
                </c:ext>
              </c:extLst>
              <c:f>Data!$D$7:$D$13</c:f>
              <c:numCache>
                <c:formatCode>_("$"* #,##0.00_);_("$"* \(#,##0.00\);_("$"* "-"??_);_(@_)</c:formatCode>
                <c:ptCount val="7"/>
                <c:pt idx="0">
                  <c:v>172.23</c:v>
                </c:pt>
                <c:pt idx="1">
                  <c:v>171000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17117.22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372-4582-A556-BA0B914D5152}"/>
            </c:ext>
          </c:extLst>
        </c:ser>
        <c:ser>
          <c:idx val="3"/>
          <c:order val="3"/>
          <c:tx>
            <c:strRef>
              <c:f>Data!$E$6</c:f>
              <c:strCache>
                <c:ptCount val="1"/>
                <c:pt idx="0">
                  <c:v>Q4</c:v>
                </c:pt>
              </c:strCache>
            </c:strRef>
          </c:tx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Data!$A$7:$A$14</c15:sqref>
                  </c15:fullRef>
                </c:ext>
              </c:extLst>
              <c:f>Data!$A$7:$A$13</c:f>
              <c:strCache>
                <c:ptCount val="7"/>
                <c:pt idx="0">
                  <c:v>Personnel</c:v>
                </c:pt>
                <c:pt idx="1">
                  <c:v>Contractual Services</c:v>
                </c:pt>
                <c:pt idx="2">
                  <c:v>Housing</c:v>
                </c:pt>
                <c:pt idx="3">
                  <c:v>Equipment</c:v>
                </c:pt>
                <c:pt idx="4">
                  <c:v>Supplies</c:v>
                </c:pt>
                <c:pt idx="5">
                  <c:v>Training / Travel</c:v>
                </c:pt>
                <c:pt idx="6">
                  <c:v>Admin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Data!$E$7:$E$14</c15:sqref>
                  </c15:fullRef>
                </c:ext>
              </c:extLst>
              <c:f>Data!$E$7:$E$13</c:f>
              <c:numCache>
                <c:formatCode>_("$"* #,##0.00_);_("$"* \(#,##0.00\);_("$"* "-"??_);_(@_)</c:formatCode>
                <c:ptCount val="7"/>
                <c:pt idx="0">
                  <c:v>6186.75</c:v>
                </c:pt>
                <c:pt idx="1">
                  <c:v>171000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15188.67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6-4719-BEA6-1F758AFA7597}"/>
            </c:ext>
          </c:extLst>
        </c:ser>
        <c:ser>
          <c:idx val="4"/>
          <c:order val="4"/>
          <c:tx>
            <c:strRef>
              <c:f>Data!$F$6</c:f>
              <c:strCache>
                <c:ptCount val="1"/>
                <c:pt idx="0">
                  <c:v>Q5</c:v>
                </c:pt>
              </c:strCache>
            </c:strRef>
          </c:tx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Data!$A$7:$A$14</c15:sqref>
                  </c15:fullRef>
                </c:ext>
              </c:extLst>
              <c:f>Data!$A$7:$A$13</c:f>
              <c:strCache>
                <c:ptCount val="7"/>
                <c:pt idx="0">
                  <c:v>Personnel</c:v>
                </c:pt>
                <c:pt idx="1">
                  <c:v>Contractual Services</c:v>
                </c:pt>
                <c:pt idx="2">
                  <c:v>Housing</c:v>
                </c:pt>
                <c:pt idx="3">
                  <c:v>Equipment</c:v>
                </c:pt>
                <c:pt idx="4">
                  <c:v>Supplies</c:v>
                </c:pt>
                <c:pt idx="5">
                  <c:v>Training / Travel</c:v>
                </c:pt>
                <c:pt idx="6">
                  <c:v>Admin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Data!$F$7:$F$14</c15:sqref>
                  </c15:fullRef>
                </c:ext>
              </c:extLst>
              <c:f>Data!$F$7:$F$13</c:f>
              <c:numCache>
                <c:formatCode>_("$"* #,##0.00_);_("$"* \(#,##0.00\);_("$"* "-"??_);_(@_)</c:formatCode>
                <c:ptCount val="7"/>
                <c:pt idx="0">
                  <c:v>3390.46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338.55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76-4719-BEA6-1F758AFA7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5481021"/>
        <c:axId val="1886379590"/>
      </c:barChart>
      <c:catAx>
        <c:axId val="18154810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6379590"/>
        <c:crosses val="autoZero"/>
        <c:auto val="1"/>
        <c:lblAlgn val="ctr"/>
        <c:lblOffset val="100"/>
        <c:noMultiLvlLbl val="1"/>
      </c:catAx>
      <c:valAx>
        <c:axId val="1886379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54810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Actions Per Quarter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Data!$A$63</c:f>
              <c:strCache>
                <c:ptCount val="1"/>
                <c:pt idx="0">
                  <c:v>Arrests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Data!$B$58:$F$58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Data!$B$63:$F$63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065-41FC-908D-9766524553CE}"/>
            </c:ext>
          </c:extLst>
        </c:ser>
        <c:ser>
          <c:idx val="1"/>
          <c:order val="1"/>
          <c:tx>
            <c:strRef>
              <c:f>Data!$A$64</c:f>
              <c:strCache>
                <c:ptCount val="1"/>
                <c:pt idx="0">
                  <c:v>Cited</c:v>
                </c:pt>
              </c:strCache>
            </c:strRef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B065-41FC-908D-9766524553CE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Data!$B$58:$F$58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Data!$B$64:$F$64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065-41FC-908D-9766524553CE}"/>
            </c:ext>
          </c:extLst>
        </c:ser>
        <c:ser>
          <c:idx val="2"/>
          <c:order val="2"/>
          <c:tx>
            <c:strRef>
              <c:f>Data!$A$65</c:f>
              <c:strCache>
                <c:ptCount val="1"/>
                <c:pt idx="0">
                  <c:v>Referred to DA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Data!$B$58:$F$58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Data!$B$65:$F$65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65-41FC-908D-9766524553CE}"/>
            </c:ext>
          </c:extLst>
        </c:ser>
        <c:ser>
          <c:idx val="3"/>
          <c:order val="3"/>
          <c:tx>
            <c:strRef>
              <c:f>Data!$A$66</c:f>
              <c:strCache>
                <c:ptCount val="1"/>
                <c:pt idx="0">
                  <c:v>No Action Taken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Data!$B$58:$F$58</c:f>
              <c:strCache>
                <c:ptCount val="5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</c:strCache>
            </c:strRef>
          </c:cat>
          <c:val>
            <c:numRef>
              <c:f>Data!$B$66:$F$66</c:f>
              <c:numCache>
                <c:formatCode>General</c:formatCode>
                <c:ptCount val="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65-41FC-908D-9766524553C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67616935"/>
        <c:axId val="2053358042"/>
      </c:barChart>
      <c:catAx>
        <c:axId val="1267616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3358042"/>
        <c:crosses val="autoZero"/>
        <c:auto val="1"/>
        <c:lblAlgn val="ctr"/>
        <c:lblOffset val="100"/>
        <c:noMultiLvlLbl val="1"/>
      </c:catAx>
      <c:valAx>
        <c:axId val="20533580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Actions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7616935"/>
        <c:crosses val="autoZero"/>
        <c:crossBetween val="between"/>
        <c:majorUnit val="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Spending Per Arrest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'Cost Effectiveness'!$A$4</c:f>
              <c:strCache>
                <c:ptCount val="1"/>
                <c:pt idx="0">
                  <c:v>Spending Per Arrest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rgbClr val="4C113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10F-43B1-9603-3079412536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Effectiveness'!$B$2:$G$2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'Cost Effectiveness'!$B$4:$G$4</c:f>
              <c:numCache>
                <c:formatCode>_("$"* #,##0.00_);_("$"* \(#,##0.00\);_("$"* "-"??_);_(@_)</c:formatCode>
                <c:ptCount val="6"/>
                <c:pt idx="0">
                  <c:v>0</c:v>
                </c:pt>
                <c:pt idx="1">
                  <c:v>3435.0600000000004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195632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10F-43B1-9603-30794125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791"/>
        <c:axId val="1528548240"/>
      </c:barChart>
      <c:catAx>
        <c:axId val="21356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8548240"/>
        <c:crosses val="autoZero"/>
        <c:auto val="1"/>
        <c:lblAlgn val="ctr"/>
        <c:lblOffset val="100"/>
        <c:noMultiLvlLbl val="1"/>
      </c:catAx>
      <c:valAx>
        <c:axId val="1528548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567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Spending Per Every $1 Recovered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'Cost Effectiveness'!$A$6</c:f>
              <c:strCache>
                <c:ptCount val="1"/>
                <c:pt idx="0">
                  <c:v>Spending Per $1 Recovered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chemeClr val="tx1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chemeClr val="accent1"/>
              </a:solidFill>
              <a:ln cmpd="sng"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238-4279-B79E-12B1ACDB38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Effectiveness'!$B$2:$G$2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'Cost Effectiveness'!$B$6:$G$6</c:f>
              <c:numCache>
                <c:formatCode>_("$"* #,##0.00_);_("$"* \(#,##0.00\);_("$"* "-"??_);_(@_)</c:formatCode>
                <c:ptCount val="6"/>
                <c:pt idx="0">
                  <c:v>0</c:v>
                </c:pt>
                <c:pt idx="1">
                  <c:v>5.0716215617664</c:v>
                </c:pt>
                <c:pt idx="2">
                  <c:v>0</c:v>
                </c:pt>
                <c:pt idx="3">
                  <c:v>4386.1244870041046</c:v>
                </c:pt>
                <c:pt idx="4">
                  <c:v>46.618452306538323</c:v>
                </c:pt>
                <c:pt idx="5">
                  <c:v>264.64114929623196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chemeClr val="tx1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238-4279-B79E-12B1ACDB3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9979221"/>
        <c:axId val="2050410519"/>
      </c:barChart>
      <c:catAx>
        <c:axId val="359979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0410519"/>
        <c:crosses val="autoZero"/>
        <c:auto val="1"/>
        <c:lblAlgn val="ctr"/>
        <c:lblOffset val="100"/>
        <c:noMultiLvlLbl val="1"/>
      </c:catAx>
      <c:valAx>
        <c:axId val="20504105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&quot;$&quot;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9979221"/>
        <c:crosses val="autoZero"/>
        <c:crossBetween val="between"/>
        <c:majorUnit val="1000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Spending Per Item Recovered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'Cost Effectiveness'!$A$5</c:f>
              <c:strCache>
                <c:ptCount val="1"/>
                <c:pt idx="0">
                  <c:v>Spending Per Item Recovered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228-48A3-BA04-E91D8DB3F3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Effectiveness'!$B$2:$G$2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'Cost Effectiveness'!$B$5:$G$5</c:f>
              <c:numCache>
                <c:formatCode>_("$"* #,##0.00_);_("$"* \(#,##0.00\);_("$"* "-"??_);_(@_)</c:formatCode>
                <c:ptCount val="6"/>
                <c:pt idx="0">
                  <c:v>0</c:v>
                </c:pt>
                <c:pt idx="1">
                  <c:v>85.876500000000007</c:v>
                </c:pt>
                <c:pt idx="2">
                  <c:v>0</c:v>
                </c:pt>
                <c:pt idx="3">
                  <c:v>192375.42</c:v>
                </c:pt>
                <c:pt idx="4">
                  <c:v>3729.01</c:v>
                </c:pt>
                <c:pt idx="5">
                  <c:v>4771.5121951219517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228-48A3-BA04-E91D8DB3F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791"/>
        <c:axId val="1528548240"/>
      </c:barChart>
      <c:catAx>
        <c:axId val="21356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8548240"/>
        <c:crosses val="autoZero"/>
        <c:auto val="1"/>
        <c:lblAlgn val="ctr"/>
        <c:lblOffset val="100"/>
        <c:noMultiLvlLbl val="1"/>
      </c:catAx>
      <c:valAx>
        <c:axId val="1528548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567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Arrests Per $100,000 Spent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'Cost Effectiveness'!$A$3:$B$3</c:f>
              <c:strCache>
                <c:ptCount val="2"/>
                <c:pt idx="0">
                  <c:v>Arrests Per $100,000 Spent</c:v>
                </c:pt>
                <c:pt idx="1">
                  <c:v>-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EC7-463D-B331-2F334C0C583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Effectiveness'!$B$1:$G$2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'Cost Effectiveness'!$C$3:$G$3</c:f>
              <c:numCache>
                <c:formatCode>0.00</c:formatCode>
                <c:ptCount val="5"/>
                <c:pt idx="0">
                  <c:v>29.111573014736276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0.51116381778032216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C7-463D-B331-2F334C0C5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791"/>
        <c:axId val="1528548240"/>
      </c:barChart>
      <c:catAx>
        <c:axId val="21356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8548240"/>
        <c:crosses val="autoZero"/>
        <c:auto val="1"/>
        <c:lblAlgn val="ctr"/>
        <c:lblOffset val="100"/>
        <c:noMultiLvlLbl val="1"/>
      </c:catAx>
      <c:valAx>
        <c:axId val="1528548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Number of Arrest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567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Arrests Per Staff Deployed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Productivity!$A$3</c:f>
              <c:strCache>
                <c:ptCount val="1"/>
                <c:pt idx="0">
                  <c:v>Arrests Per Staff Deployed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0B2-4693-BE11-4FCF327D50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Effectiveness'!$B$1:$G$2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Productivity!$B$3:$G$3</c:f>
              <c:numCache>
                <c:formatCode>0.00</c:formatCode>
                <c:ptCount val="6"/>
                <c:pt idx="0">
                  <c:v>0</c:v>
                </c:pt>
                <c:pt idx="1">
                  <c:v>0.22222222222222221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7.6923076923076927E-2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0B2-4693-BE11-4FCF327D5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791"/>
        <c:axId val="1528548240"/>
      </c:barChart>
      <c:catAx>
        <c:axId val="21356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8548240"/>
        <c:crosses val="autoZero"/>
        <c:auto val="1"/>
        <c:lblAlgn val="ctr"/>
        <c:lblOffset val="100"/>
        <c:noMultiLvlLbl val="1"/>
      </c:catAx>
      <c:valAx>
        <c:axId val="1528548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Number of Arrest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567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>
                <a:solidFill>
                  <a:srgbClr val="757575"/>
                </a:solidFill>
                <a:latin typeface="+mn-lt"/>
              </a:defRPr>
            </a:pPr>
            <a:r>
              <a:rPr lang="en-US" sz="1400" b="0">
                <a:solidFill>
                  <a:srgbClr val="757575"/>
                </a:solidFill>
                <a:latin typeface="+mn-lt"/>
              </a:rPr>
              <a:t>Avg Value Per Item Recovered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Productivity!$A$4</c:f>
              <c:strCache>
                <c:ptCount val="1"/>
                <c:pt idx="0">
                  <c:v>Avg Value Per Item Recovered</c:v>
                </c:pt>
              </c:strCache>
            </c:strRef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3"/>
            <c:invertIfNegative val="1"/>
            <c:bubble3D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EA1-4F0C-BA7F-FEF4DD36EE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'Cost Effectiveness'!$B$1:$G$2</c:f>
              <c:strCache>
                <c:ptCount val="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Total</c:v>
                </c:pt>
              </c:strCache>
            </c:strRef>
          </c:cat>
          <c:val>
            <c:numRef>
              <c:f>Productivity!$B$4:$G$4</c:f>
              <c:numCache>
                <c:formatCode>_("$"* #,##0.00_);_("$"* \(#,##0.00\);_("$"* "-"??_);_(@_)</c:formatCode>
                <c:ptCount val="6"/>
                <c:pt idx="0">
                  <c:v>0</c:v>
                </c:pt>
                <c:pt idx="1">
                  <c:v>16.932749999999999</c:v>
                </c:pt>
                <c:pt idx="2">
                  <c:v>0</c:v>
                </c:pt>
                <c:pt idx="3">
                  <c:v>43.86</c:v>
                </c:pt>
                <c:pt idx="4">
                  <c:v>79.989999999999995</c:v>
                </c:pt>
                <c:pt idx="5">
                  <c:v>18.03012195121951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EA1-4F0C-BA7F-FEF4DD36E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56791"/>
        <c:axId val="1528548240"/>
      </c:barChart>
      <c:catAx>
        <c:axId val="21356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8548240"/>
        <c:crosses val="autoZero"/>
        <c:auto val="1"/>
        <c:lblAlgn val="ctr"/>
        <c:lblOffset val="100"/>
        <c:noMultiLvlLbl val="1"/>
      </c:catAx>
      <c:valAx>
        <c:axId val="1528548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Number of Arrest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5679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6762750" cy="5162550"/>
    <xdr:graphicFrame macro="">
      <xdr:nvGraphicFramePr>
        <xdr:cNvPr id="3" name="Chart 1" title="Chart">
          <a:extLst>
            <a:ext uri="{FF2B5EF4-FFF2-40B4-BE49-F238E27FC236}">
              <a16:creationId xmlns:a16="http://schemas.microsoft.com/office/drawing/2014/main" id="{BD49A82A-3184-4B83-B0D0-520A54352E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66</xdr:row>
      <xdr:rowOff>190499</xdr:rowOff>
    </xdr:from>
    <xdr:ext cx="6772274" cy="6229351"/>
    <xdr:graphicFrame macro="">
      <xdr:nvGraphicFramePr>
        <xdr:cNvPr id="4" name="Chart 2" title="Chart">
          <a:extLst>
            <a:ext uri="{FF2B5EF4-FFF2-40B4-BE49-F238E27FC236}">
              <a16:creationId xmlns:a16="http://schemas.microsoft.com/office/drawing/2014/main" id="{8401CEDE-CF3D-4ABB-B9DE-329C3020DB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24</xdr:row>
      <xdr:rowOff>85725</xdr:rowOff>
    </xdr:from>
    <xdr:ext cx="6762750" cy="3009900"/>
    <xdr:graphicFrame macro="">
      <xdr:nvGraphicFramePr>
        <xdr:cNvPr id="1226801955" name="Chart 3" title="Chart">
          <a:extLst>
            <a:ext uri="{FF2B5EF4-FFF2-40B4-BE49-F238E27FC236}">
              <a16:creationId xmlns:a16="http://schemas.microsoft.com/office/drawing/2014/main" id="{00000000-0008-0000-0100-000023831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62</xdr:row>
      <xdr:rowOff>190499</xdr:rowOff>
    </xdr:from>
    <xdr:ext cx="6743700" cy="4124325"/>
    <xdr:graphicFrame macro="">
      <xdr:nvGraphicFramePr>
        <xdr:cNvPr id="1940648434" name="Chart 4" title="Chart">
          <a:extLst>
            <a:ext uri="{FF2B5EF4-FFF2-40B4-BE49-F238E27FC236}">
              <a16:creationId xmlns:a16="http://schemas.microsoft.com/office/drawing/2014/main" id="{00000000-0008-0000-0100-0000F2F1AB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41</xdr:row>
      <xdr:rowOff>85724</xdr:rowOff>
    </xdr:from>
    <xdr:ext cx="6734174" cy="39719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67870A8B-EE0C-4298-A838-F0669DA1E2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0</xdr:col>
      <xdr:colOff>0</xdr:colOff>
      <xdr:row>7</xdr:row>
      <xdr:rowOff>9525</xdr:rowOff>
    </xdr:from>
    <xdr:ext cx="6762750" cy="3219450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5680B92D-8C1B-4931-A9C8-AFE9E12BE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9524</xdr:rowOff>
    </xdr:from>
    <xdr:ext cx="6705600" cy="353377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199B9C6D-560E-4597-B113-1AA23FF08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24</xdr:row>
      <xdr:rowOff>19050</xdr:rowOff>
    </xdr:from>
    <xdr:ext cx="6705600" cy="332422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CFD13144-EEE2-4677-B16B-162A5931D3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8331577-D8B3-49D9-82F2-6259EF64FFDB}" name="Spending" displayName="Spending" ref="A6:G14" totalsRowShown="0" headerRowDxfId="66" dataDxfId="64" headerRowBorderDxfId="65" tableBorderDxfId="63" totalsRowBorderDxfId="62" dataCellStyle="Currency">
  <autoFilter ref="A6:G14" xr:uid="{08331577-D8B3-49D9-82F2-6259EF64FF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CC212B3-B6E4-42A1-A412-C0A3BA6DFD1B}" name="Category" dataDxfId="61"/>
    <tableColumn id="2" xr3:uid="{7AE7F97A-98C0-416B-A126-B8B9D36945E0}" name="Q1" dataDxfId="60" dataCellStyle="Currency"/>
    <tableColumn id="3" xr3:uid="{603F8AA2-7388-4234-AD19-298312F2B8FA}" name="Q2" dataDxfId="59" dataCellStyle="Currency"/>
    <tableColumn id="4" xr3:uid="{95A792DD-E9B1-45BF-AD5F-5232DBF74778}" name="Q3" dataDxfId="58" dataCellStyle="Currency"/>
    <tableColumn id="5" xr3:uid="{8BDAAAED-5286-4B93-8474-62B87BD80B4D}" name="Q4" dataDxfId="57" dataCellStyle="Currency"/>
    <tableColumn id="6" xr3:uid="{7DFABE34-D56A-47D7-9579-8E2418574E34}" name="Q5" dataDxfId="56" dataCellStyle="Currency"/>
    <tableColumn id="7" xr3:uid="{4EA22D62-5E57-475D-9DA8-FD134441CCB3}" name="Total" dataDxfId="55" dataCellStyle="Currency"/>
  </tableColumns>
  <tableStyleInfo name="Data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5EB77-878B-4CE4-8101-D361C1CDAAFF}" name="Outcomes" displayName="Outcomes" ref="A58:G66" totalsRowShown="0" headerRowDxfId="54" headerRowBorderDxfId="53" tableBorderDxfId="52" totalsRowBorderDxfId="51">
  <autoFilter ref="A58:G66" xr:uid="{20C5EB77-878B-4CE4-8101-D361C1CDAAF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3B157ED7-7B8B-46B7-96DE-1431BAB3341F}" name="Category" dataDxfId="50"/>
    <tableColumn id="2" xr3:uid="{5785238B-42A1-4321-9569-B4B6052CE7E1}" name="Q1" dataDxfId="49"/>
    <tableColumn id="3" xr3:uid="{3987490E-393D-4119-9DD8-3EC38B78D02A}" name="Q2" dataDxfId="48"/>
    <tableColumn id="4" xr3:uid="{A489928D-D241-486C-8E22-44BBA823923D}" name="Q3" dataDxfId="47"/>
    <tableColumn id="5" xr3:uid="{9BC4CF8C-95BF-4AAF-AD61-E73E27B7577B}" name="Q4" dataDxfId="46"/>
    <tableColumn id="6" xr3:uid="{1E42C709-6437-4375-8F0A-36FFA19196C0}" name="Q5" dataDxfId="45"/>
    <tableColumn id="7" xr3:uid="{3D3504D8-18FA-421C-89BF-EFAB86EACBB1}" name="Total" dataDxfId="44">
      <calculatedColumnFormula>SUM(Outcomes[[#This Row],[Q1]:[Q5]])</calculatedColumnFormula>
    </tableColumn>
  </tableColumns>
  <tableStyleInfo name="Data-sty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2DB8E9-3D81-4BEB-9F25-19109BB19DA6}" name="Table9" displayName="Table9" ref="A29:G33" totalsRowShown="0" headerRowDxfId="43" headerRowBorderDxfId="42" tableBorderDxfId="41" totalsRowBorderDxfId="40">
  <autoFilter ref="A29:G33" xr:uid="{DC2DB8E9-3D81-4BEB-9F25-19109BB19D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86AD75C-C1E9-498D-90A9-B02309768868}" name="Metrics" dataDxfId="39"/>
    <tableColumn id="2" xr3:uid="{D8921FFA-7951-49F0-A8FD-97A89A53E0CF}" name="Q1" dataDxfId="38">
      <calculatedColumnFormula>B$63/B$14*100000</calculatedColumnFormula>
    </tableColumn>
    <tableColumn id="3" xr3:uid="{806FA61A-443C-4439-9DD9-CA7C87E28238}" name="Q2" dataDxfId="37">
      <calculatedColumnFormula>C$63/C$14*100000</calculatedColumnFormula>
    </tableColumn>
    <tableColumn id="4" xr3:uid="{6EB30613-04AC-4859-8872-9FE08077B60D}" name="Q3" dataDxfId="36">
      <calculatedColumnFormula>D$63/D$14*100000</calculatedColumnFormula>
    </tableColumn>
    <tableColumn id="5" xr3:uid="{B509EBBA-0C2F-45F5-A953-BDC3AB497ED8}" name="Q4" dataDxfId="35">
      <calculatedColumnFormula>E$63/E$14*100000</calculatedColumnFormula>
    </tableColumn>
    <tableColumn id="6" xr3:uid="{08D8C7E3-7D88-435C-B063-045F43DBAF96}" name="Q5" dataDxfId="34">
      <calculatedColumnFormula>F$63/F$14*100000</calculatedColumnFormula>
    </tableColumn>
    <tableColumn id="7" xr3:uid="{46171698-FBF5-4FB0-A23B-97ACF91645E1}" name="Total" dataDxfId="33">
      <calculatedColumnFormula>G$63/G$14*100000</calculatedColumnFormula>
    </tableColumn>
  </tableColumns>
  <tableStyleInfo name="Data-sty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D72ECC3-F96C-45F7-BA64-2A8C0C300BC5}" name="Table10" displayName="Table10" ref="A37:G39" totalsRowShown="0" headerRowDxfId="32" headerRowBorderDxfId="31" tableBorderDxfId="30" totalsRowBorderDxfId="29">
  <autoFilter ref="A37:G39" xr:uid="{FD72ECC3-F96C-45F7-BA64-2A8C0C300BC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BE65415D-B247-4ECA-88B8-35DB87E72E3C}" name="Metrics" dataDxfId="28"/>
    <tableColumn id="2" xr3:uid="{2CBE52C0-4454-44A6-9857-A82D73695559}" name="Q1" dataDxfId="27"/>
    <tableColumn id="3" xr3:uid="{67ED8C2E-6FFF-4792-8C0A-59FED451083C}" name="Q2" dataDxfId="26">
      <calculatedColumnFormula>C$63/C$14*100000</calculatedColumnFormula>
    </tableColumn>
    <tableColumn id="4" xr3:uid="{ECCDC4A7-53F6-4DBF-AA8F-0A29A7A98ACA}" name="Q3" dataDxfId="25"/>
    <tableColumn id="5" xr3:uid="{22786806-2BB1-4ED2-BCD5-4E7190DC3E9E}" name="Q4" dataDxfId="24"/>
    <tableColumn id="6" xr3:uid="{9346A8A2-BBE3-45A6-8ABB-C5A07FCCEA8D}" name="Q5" dataDxfId="23"/>
    <tableColumn id="7" xr3:uid="{2D87C54F-B30C-4AC2-8985-621BC6AD3DD3}" name="Total" dataDxfId="22"/>
  </tableColumns>
  <tableStyleInfo name="Data-sty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2844D2-96F8-45CD-8C41-ED6CEE35EFC8}" name="Table96" displayName="Table96" ref="A2:G6" totalsRowShown="0" headerRowDxfId="21" headerRowBorderDxfId="20" tableBorderDxfId="19" totalsRowBorderDxfId="18">
  <autoFilter ref="A2:G6" xr:uid="{5C2844D2-96F8-45CD-8C41-ED6CEE35EFC8}"/>
  <tableColumns count="7">
    <tableColumn id="1" xr3:uid="{9EE7C6D9-9CA5-41DB-A477-E55A2BD0ADB8}" name="Metrics" dataDxfId="17"/>
    <tableColumn id="2" xr3:uid="{783C8CC0-2FF8-4ED5-B527-7C8AB761C32F}" name="Q1" dataDxfId="16"/>
    <tableColumn id="3" xr3:uid="{13136737-5B1F-42F3-BDB5-F14CE7F5C1E6}" name="Q2" dataDxfId="15"/>
    <tableColumn id="4" xr3:uid="{F0954E5B-F624-457D-B338-4D182D928C1C}" name="Q3" dataDxfId="14"/>
    <tableColumn id="5" xr3:uid="{67018864-432A-40D8-B12E-97BA00DA44B1}" name="Q4" dataDxfId="13"/>
    <tableColumn id="6" xr3:uid="{B3EF4693-872B-429C-B64B-CAA1CA0D8527}" name="Q5" dataDxfId="12"/>
    <tableColumn id="7" xr3:uid="{D05C220F-36D0-43CC-8FAC-C63EC345CDDC}" name="Total" dataDxfId="11"/>
  </tableColumns>
  <tableStyleInfo name="Data-sty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771172-9E9A-436C-9C31-9D1261010264}" name="Table107" displayName="Table107" ref="A2:G4" totalsRowShown="0" headerRowDxfId="10" headerRowBorderDxfId="9" tableBorderDxfId="8" totalsRowBorderDxfId="7">
  <autoFilter ref="A2:G4" xr:uid="{DE771172-9E9A-436C-9C31-9D1261010264}"/>
  <tableColumns count="7">
    <tableColumn id="1" xr3:uid="{700BBF9A-E8A4-4A62-90FD-2C1E8314E4B5}" name="Metrics" dataDxfId="6"/>
    <tableColumn id="2" xr3:uid="{5D852823-F4F6-4C12-B8A3-1DAF9B7EFFB7}" name="Q1" dataDxfId="5"/>
    <tableColumn id="3" xr3:uid="{1B84A052-14F3-4873-A415-91602B02F5CB}" name="Q2" dataDxfId="4"/>
    <tableColumn id="4" xr3:uid="{0F1F0A30-AB29-4AB6-B8CC-B6654D88811E}" name="Q3" dataDxfId="3"/>
    <tableColumn id="5" xr3:uid="{BD5F3904-8FC5-42F7-9591-7DF4B3F1ECC3}" name="Q4" dataDxfId="2"/>
    <tableColumn id="6" xr3:uid="{1547F1C4-488E-4320-8740-6AFA6111CFEF}" name="Q5" dataDxfId="1"/>
    <tableColumn id="7" xr3:uid="{1B9B34D6-FCEF-4751-8F5F-96A7C42DDBB3}" name="Total" dataDxfId="0"/>
  </tableColumns>
  <tableStyleInfo name="Data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F5DCC-65CD-4A30-A6E1-F945FCCE9B53}">
  <dimension ref="A1:I66"/>
  <sheetViews>
    <sheetView tabSelected="1" zoomScaleNormal="100" workbookViewId="0">
      <selection activeCell="A4" sqref="A4"/>
    </sheetView>
  </sheetViews>
  <sheetFormatPr defaultRowHeight="15" x14ac:dyDescent="0.25"/>
  <cols>
    <col min="1" max="1" width="28.28515625" bestFit="1" customWidth="1"/>
    <col min="2" max="2" width="9.7109375" customWidth="1"/>
    <col min="3" max="7" width="12.7109375" customWidth="1"/>
    <col min="9" max="9" width="12.5703125" bestFit="1" customWidth="1"/>
  </cols>
  <sheetData>
    <row r="1" spans="1:9" ht="28.5" x14ac:dyDescent="0.45">
      <c r="A1" s="40" t="s">
        <v>30</v>
      </c>
      <c r="B1" s="40"/>
      <c r="C1" s="40"/>
      <c r="D1" s="40"/>
      <c r="E1" s="40"/>
      <c r="F1" s="40"/>
      <c r="G1" s="40"/>
    </row>
    <row r="2" spans="1:9" x14ac:dyDescent="0.25">
      <c r="A2" s="41" t="s">
        <v>37</v>
      </c>
      <c r="B2" s="41"/>
      <c r="C2" s="41"/>
      <c r="D2" s="41"/>
      <c r="E2" s="41"/>
      <c r="F2" s="41"/>
      <c r="G2" s="41"/>
    </row>
    <row r="3" spans="1:9" x14ac:dyDescent="0.25">
      <c r="A3" s="42">
        <v>45995</v>
      </c>
      <c r="B3" s="42"/>
      <c r="C3" s="42"/>
      <c r="D3" s="42"/>
      <c r="E3" s="42"/>
      <c r="F3" s="42"/>
      <c r="G3" s="42"/>
    </row>
    <row r="4" spans="1:9" x14ac:dyDescent="0.25">
      <c r="A4" s="39"/>
      <c r="B4" s="39"/>
      <c r="C4" s="39"/>
      <c r="D4" s="39"/>
      <c r="E4" s="39"/>
      <c r="F4" s="39"/>
      <c r="G4" s="39"/>
    </row>
    <row r="5" spans="1:9" ht="18.75" x14ac:dyDescent="0.3">
      <c r="A5" s="5" t="s">
        <v>0</v>
      </c>
    </row>
    <row r="6" spans="1:9" x14ac:dyDescent="0.25">
      <c r="A6" s="6" t="s">
        <v>1</v>
      </c>
      <c r="B6" s="7" t="s">
        <v>2</v>
      </c>
      <c r="C6" s="7" t="s">
        <v>3</v>
      </c>
      <c r="D6" s="7" t="s">
        <v>4</v>
      </c>
      <c r="E6" s="7" t="s">
        <v>31</v>
      </c>
      <c r="F6" s="7" t="s">
        <v>32</v>
      </c>
      <c r="G6" s="7" t="s">
        <v>5</v>
      </c>
      <c r="I6" s="4"/>
    </row>
    <row r="7" spans="1:9" x14ac:dyDescent="0.25">
      <c r="A7" s="9" t="s">
        <v>6</v>
      </c>
      <c r="B7" s="10">
        <v>0</v>
      </c>
      <c r="C7" s="34">
        <v>6245.56</v>
      </c>
      <c r="D7" s="34">
        <v>172.23</v>
      </c>
      <c r="E7" s="34">
        <v>6186.75</v>
      </c>
      <c r="F7" s="34">
        <v>3390.46</v>
      </c>
      <c r="G7" s="37">
        <f>SUM(B7:F7)</f>
        <v>15995</v>
      </c>
      <c r="I7" s="3"/>
    </row>
    <row r="8" spans="1:9" x14ac:dyDescent="0.25">
      <c r="A8" s="9" t="s">
        <v>7</v>
      </c>
      <c r="B8" s="10">
        <v>0</v>
      </c>
      <c r="C8" s="33">
        <v>0</v>
      </c>
      <c r="D8" s="33">
        <v>171000</v>
      </c>
      <c r="E8" s="33">
        <v>171000</v>
      </c>
      <c r="F8" s="33">
        <v>0</v>
      </c>
      <c r="G8" s="36">
        <f t="shared" ref="G8:G13" si="0">SUM(B8:F8)</f>
        <v>342000</v>
      </c>
      <c r="I8" s="3"/>
    </row>
    <row r="9" spans="1:9" x14ac:dyDescent="0.25">
      <c r="A9" s="9" t="s">
        <v>8</v>
      </c>
      <c r="B9" s="10">
        <v>0</v>
      </c>
      <c r="C9" s="33">
        <v>0</v>
      </c>
      <c r="D9" s="33">
        <v>0</v>
      </c>
      <c r="E9" s="33">
        <v>0</v>
      </c>
      <c r="F9" s="33">
        <v>0</v>
      </c>
      <c r="G9" s="36">
        <f t="shared" si="0"/>
        <v>0</v>
      </c>
      <c r="I9" s="3"/>
    </row>
    <row r="10" spans="1:9" x14ac:dyDescent="0.25">
      <c r="A10" s="9" t="s">
        <v>9</v>
      </c>
      <c r="B10" s="10">
        <v>0</v>
      </c>
      <c r="C10" s="33">
        <v>0</v>
      </c>
      <c r="D10" s="33">
        <v>0</v>
      </c>
      <c r="E10" s="33">
        <v>0</v>
      </c>
      <c r="F10" s="33">
        <v>0</v>
      </c>
      <c r="G10" s="36">
        <f t="shared" si="0"/>
        <v>0</v>
      </c>
      <c r="I10" s="3"/>
    </row>
    <row r="11" spans="1:9" x14ac:dyDescent="0.25">
      <c r="A11" s="9" t="s">
        <v>10</v>
      </c>
      <c r="B11" s="10">
        <v>0</v>
      </c>
      <c r="C11" s="33">
        <v>0</v>
      </c>
      <c r="D11" s="33">
        <v>0</v>
      </c>
      <c r="E11" s="33">
        <v>0</v>
      </c>
      <c r="F11" s="33">
        <v>0</v>
      </c>
      <c r="G11" s="36">
        <f t="shared" si="0"/>
        <v>0</v>
      </c>
      <c r="I11" s="3"/>
    </row>
    <row r="12" spans="1:9" x14ac:dyDescent="0.25">
      <c r="A12" s="9" t="s">
        <v>11</v>
      </c>
      <c r="B12" s="10">
        <v>0</v>
      </c>
      <c r="C12" s="33">
        <v>0</v>
      </c>
      <c r="D12" s="33">
        <v>0</v>
      </c>
      <c r="E12" s="33">
        <v>0</v>
      </c>
      <c r="F12" s="33">
        <v>0</v>
      </c>
      <c r="G12" s="36">
        <f t="shared" si="0"/>
        <v>0</v>
      </c>
    </row>
    <row r="13" spans="1:9" x14ac:dyDescent="0.25">
      <c r="A13" s="9" t="s">
        <v>12</v>
      </c>
      <c r="B13" s="10">
        <v>0</v>
      </c>
      <c r="C13" s="33">
        <v>624.55999999999995</v>
      </c>
      <c r="D13" s="33">
        <v>17117.22</v>
      </c>
      <c r="E13" s="33">
        <v>15188.67</v>
      </c>
      <c r="F13" s="33">
        <v>338.55</v>
      </c>
      <c r="G13" s="36">
        <f t="shared" si="0"/>
        <v>33269.000000000007</v>
      </c>
    </row>
    <row r="14" spans="1:9" x14ac:dyDescent="0.25">
      <c r="A14" s="12" t="s">
        <v>5</v>
      </c>
      <c r="B14" s="13">
        <f>SUM(B7:B13)</f>
        <v>0</v>
      </c>
      <c r="C14" s="35">
        <f>SUM(C7:C13)</f>
        <v>6870.1200000000008</v>
      </c>
      <c r="D14" s="35">
        <f>SUM(D7:D13)</f>
        <v>188289.45</v>
      </c>
      <c r="E14" s="35">
        <f>SUM(E7:E13)</f>
        <v>192375.42</v>
      </c>
      <c r="F14" s="35">
        <f>SUM(F7:F13)</f>
        <v>3729.01</v>
      </c>
      <c r="G14" s="38">
        <f ca="1">SUM(Spending[[#This Row],[Q2]:[Total]])</f>
        <v>391264</v>
      </c>
    </row>
    <row r="27" spans="1:7" hidden="1" x14ac:dyDescent="0.25"/>
    <row r="28" spans="1:7" ht="18.75" hidden="1" x14ac:dyDescent="0.3">
      <c r="A28" s="5" t="s">
        <v>21</v>
      </c>
    </row>
    <row r="29" spans="1:7" hidden="1" x14ac:dyDescent="0.25">
      <c r="A29" s="6" t="s">
        <v>22</v>
      </c>
      <c r="B29" s="7" t="s">
        <v>2</v>
      </c>
      <c r="C29" s="7" t="s">
        <v>3</v>
      </c>
      <c r="D29" s="7" t="s">
        <v>4</v>
      </c>
      <c r="E29" s="7" t="s">
        <v>31</v>
      </c>
      <c r="F29" s="7" t="s">
        <v>32</v>
      </c>
      <c r="G29" s="8" t="s">
        <v>5</v>
      </c>
    </row>
    <row r="30" spans="1:7" hidden="1" x14ac:dyDescent="0.25">
      <c r="A30" s="9" t="s">
        <v>23</v>
      </c>
      <c r="B30" s="19" t="s">
        <v>34</v>
      </c>
      <c r="C30" s="20">
        <f>C$63/C$14*100000</f>
        <v>29.111573014736276</v>
      </c>
      <c r="D30" s="21">
        <f>D$63/D$14*100000</f>
        <v>0</v>
      </c>
      <c r="E30" s="21">
        <f>E$63/E$14*100000</f>
        <v>0</v>
      </c>
      <c r="F30" s="21">
        <f>F$63/F$14*100000</f>
        <v>0</v>
      </c>
      <c r="G30" s="22">
        <f ca="1">G$63/G$14*100000</f>
        <v>0.51116381778032216</v>
      </c>
    </row>
    <row r="31" spans="1:7" hidden="1" x14ac:dyDescent="0.25">
      <c r="A31" s="9" t="s">
        <v>24</v>
      </c>
      <c r="B31" s="23">
        <v>0</v>
      </c>
      <c r="C31" s="10">
        <f>C14/C63</f>
        <v>3435.0600000000004</v>
      </c>
      <c r="D31" s="23">
        <v>0</v>
      </c>
      <c r="E31" s="23">
        <v>0</v>
      </c>
      <c r="F31" s="23">
        <v>0</v>
      </c>
      <c r="G31" s="24">
        <f ca="1">G14/G63</f>
        <v>195632</v>
      </c>
    </row>
    <row r="32" spans="1:7" hidden="1" x14ac:dyDescent="0.25">
      <c r="A32" s="9" t="s">
        <v>25</v>
      </c>
      <c r="B32" s="23">
        <v>0</v>
      </c>
      <c r="C32" s="25">
        <f>C14/C60</f>
        <v>85.876500000000007</v>
      </c>
      <c r="D32" s="25">
        <v>0</v>
      </c>
      <c r="E32" s="25">
        <f>E14/E60</f>
        <v>192375.42</v>
      </c>
      <c r="F32" s="25">
        <f>F14/F60</f>
        <v>3729.01</v>
      </c>
      <c r="G32" s="26">
        <f ca="1">G14/G60</f>
        <v>4771.5121951219517</v>
      </c>
    </row>
    <row r="33" spans="1:7" hidden="1" x14ac:dyDescent="0.25">
      <c r="A33" s="16" t="s">
        <v>26</v>
      </c>
      <c r="B33" s="27">
        <v>0</v>
      </c>
      <c r="C33" s="28">
        <f>C14/C61</f>
        <v>5.0716215617664</v>
      </c>
      <c r="D33" s="28">
        <v>0</v>
      </c>
      <c r="E33" s="28">
        <f>E14/E61</f>
        <v>4386.1244870041046</v>
      </c>
      <c r="F33" s="28">
        <f>F14/F61</f>
        <v>46.618452306538323</v>
      </c>
      <c r="G33" s="29">
        <f ca="1">G14/G61</f>
        <v>264.64114929623196</v>
      </c>
    </row>
    <row r="34" spans="1:7" hidden="1" x14ac:dyDescent="0.25"/>
    <row r="35" spans="1:7" hidden="1" x14ac:dyDescent="0.25"/>
    <row r="36" spans="1:7" ht="18.75" hidden="1" x14ac:dyDescent="0.3">
      <c r="A36" s="5" t="s">
        <v>27</v>
      </c>
    </row>
    <row r="37" spans="1:7" hidden="1" x14ac:dyDescent="0.25">
      <c r="A37" s="6" t="s">
        <v>22</v>
      </c>
      <c r="B37" s="7" t="s">
        <v>2</v>
      </c>
      <c r="C37" s="7" t="s">
        <v>3</v>
      </c>
      <c r="D37" s="7" t="s">
        <v>4</v>
      </c>
      <c r="E37" s="7" t="s">
        <v>31</v>
      </c>
      <c r="F37" s="7" t="s">
        <v>32</v>
      </c>
      <c r="G37" s="8" t="s">
        <v>5</v>
      </c>
    </row>
    <row r="38" spans="1:7" hidden="1" x14ac:dyDescent="0.25">
      <c r="A38" s="9" t="s">
        <v>28</v>
      </c>
      <c r="B38" s="21">
        <v>0</v>
      </c>
      <c r="C38" s="21">
        <f>C63/C59</f>
        <v>0.22222222222222221</v>
      </c>
      <c r="D38" s="21">
        <f>D63/D59</f>
        <v>0</v>
      </c>
      <c r="E38" s="21">
        <f>E63/E59</f>
        <v>0</v>
      </c>
      <c r="F38" s="21">
        <f>F63/F59</f>
        <v>0</v>
      </c>
      <c r="G38" s="30">
        <f>G63/G59</f>
        <v>7.6923076923076927E-2</v>
      </c>
    </row>
    <row r="39" spans="1:7" hidden="1" x14ac:dyDescent="0.25">
      <c r="A39" s="16" t="s">
        <v>29</v>
      </c>
      <c r="B39" s="31">
        <v>0</v>
      </c>
      <c r="C39" s="31">
        <f>C61/C60</f>
        <v>16.932749999999999</v>
      </c>
      <c r="D39" s="31">
        <v>0</v>
      </c>
      <c r="E39" s="31">
        <f>E61/E60</f>
        <v>43.86</v>
      </c>
      <c r="F39" s="31">
        <f>F61/F60</f>
        <v>79.989999999999995</v>
      </c>
      <c r="G39" s="32">
        <f>G61/G60</f>
        <v>18.03012195121951</v>
      </c>
    </row>
    <row r="57" spans="1:7" ht="18.75" x14ac:dyDescent="0.3">
      <c r="A57" s="5" t="s">
        <v>13</v>
      </c>
    </row>
    <row r="58" spans="1:7" x14ac:dyDescent="0.25">
      <c r="A58" s="6" t="s">
        <v>1</v>
      </c>
      <c r="B58" s="7" t="s">
        <v>2</v>
      </c>
      <c r="C58" s="7" t="s">
        <v>3</v>
      </c>
      <c r="D58" s="7" t="s">
        <v>4</v>
      </c>
      <c r="E58" s="7" t="s">
        <v>31</v>
      </c>
      <c r="F58" s="7" t="s">
        <v>32</v>
      </c>
      <c r="G58" s="8" t="s">
        <v>5</v>
      </c>
    </row>
    <row r="59" spans="1:7" x14ac:dyDescent="0.25">
      <c r="A59" s="9" t="s">
        <v>14</v>
      </c>
      <c r="B59" s="14">
        <v>0</v>
      </c>
      <c r="C59" s="14">
        <v>9</v>
      </c>
      <c r="D59" s="14">
        <v>1</v>
      </c>
      <c r="E59" s="14">
        <v>8</v>
      </c>
      <c r="F59" s="14">
        <v>8</v>
      </c>
      <c r="G59" s="15">
        <f>SUM(Outcomes[[#This Row],[Q1]:[Q5]])</f>
        <v>26</v>
      </c>
    </row>
    <row r="60" spans="1:7" x14ac:dyDescent="0.25">
      <c r="A60" s="9" t="s">
        <v>15</v>
      </c>
      <c r="B60" s="14">
        <v>0</v>
      </c>
      <c r="C60" s="14">
        <v>80</v>
      </c>
      <c r="D60" s="14">
        <v>0</v>
      </c>
      <c r="E60" s="14">
        <v>1</v>
      </c>
      <c r="F60" s="14">
        <v>1</v>
      </c>
      <c r="G60" s="15">
        <f>SUM(Outcomes[[#This Row],[Q1]:[Q5]])</f>
        <v>82</v>
      </c>
    </row>
    <row r="61" spans="1:7" x14ac:dyDescent="0.25">
      <c r="A61" s="9" t="s">
        <v>16</v>
      </c>
      <c r="B61" s="10">
        <v>0</v>
      </c>
      <c r="C61" s="10">
        <v>1354.62</v>
      </c>
      <c r="D61" s="10">
        <v>0</v>
      </c>
      <c r="E61" s="10">
        <v>43.86</v>
      </c>
      <c r="F61" s="10">
        <v>79.989999999999995</v>
      </c>
      <c r="G61" s="11">
        <f>SUM(Outcomes[[#This Row],[Q1]:[Q5]])</f>
        <v>1478.4699999999998</v>
      </c>
    </row>
    <row r="62" spans="1:7" x14ac:dyDescent="0.25">
      <c r="A62" s="9" t="s">
        <v>17</v>
      </c>
      <c r="B62" s="14">
        <v>0</v>
      </c>
      <c r="C62" s="14">
        <v>7</v>
      </c>
      <c r="D62" s="14">
        <v>0</v>
      </c>
      <c r="E62" s="14">
        <v>2</v>
      </c>
      <c r="F62" s="14">
        <v>1</v>
      </c>
      <c r="G62" s="15">
        <f>SUM(Outcomes[[#This Row],[Q1]:[Q5]])</f>
        <v>10</v>
      </c>
    </row>
    <row r="63" spans="1:7" x14ac:dyDescent="0.25">
      <c r="A63" s="9" t="s">
        <v>18</v>
      </c>
      <c r="B63" s="14">
        <v>0</v>
      </c>
      <c r="C63" s="14">
        <v>2</v>
      </c>
      <c r="D63" s="14">
        <v>0</v>
      </c>
      <c r="E63" s="14">
        <v>0</v>
      </c>
      <c r="F63" s="14">
        <v>0</v>
      </c>
      <c r="G63" s="15">
        <f>SUM(Outcomes[[#This Row],[Q1]:[Q5]])</f>
        <v>2</v>
      </c>
    </row>
    <row r="64" spans="1:7" x14ac:dyDescent="0.25">
      <c r="A64" s="9" t="s">
        <v>19</v>
      </c>
      <c r="B64" s="14">
        <v>0</v>
      </c>
      <c r="C64" s="14">
        <v>3</v>
      </c>
      <c r="D64" s="14">
        <v>0</v>
      </c>
      <c r="E64" s="14">
        <v>1</v>
      </c>
      <c r="F64" s="14">
        <v>1</v>
      </c>
      <c r="G64" s="15">
        <f>SUM(Outcomes[[#This Row],[Q1]:[Q5]])</f>
        <v>5</v>
      </c>
    </row>
    <row r="65" spans="1:7" x14ac:dyDescent="0.25">
      <c r="A65" s="9" t="s">
        <v>20</v>
      </c>
      <c r="B65" s="14">
        <v>0</v>
      </c>
      <c r="C65" s="14">
        <v>0</v>
      </c>
      <c r="D65" s="14">
        <v>0</v>
      </c>
      <c r="E65" s="14">
        <v>1</v>
      </c>
      <c r="F65" s="14">
        <v>0</v>
      </c>
      <c r="G65" s="15">
        <f>SUM(Outcomes[[#This Row],[Q1]:[Q5]])</f>
        <v>1</v>
      </c>
    </row>
    <row r="66" spans="1:7" x14ac:dyDescent="0.25">
      <c r="A66" s="16" t="s">
        <v>33</v>
      </c>
      <c r="B66" s="17">
        <v>0</v>
      </c>
      <c r="C66" s="17">
        <v>2</v>
      </c>
      <c r="D66" s="17">
        <v>0</v>
      </c>
      <c r="E66" s="17">
        <v>0</v>
      </c>
      <c r="F66" s="17">
        <v>0</v>
      </c>
      <c r="G66" s="18">
        <f>SUM(Outcomes[[#This Row],[Q1]:[Q5]])</f>
        <v>2</v>
      </c>
    </row>
  </sheetData>
  <mergeCells count="3">
    <mergeCell ref="A1:G1"/>
    <mergeCell ref="A2:G2"/>
    <mergeCell ref="A3:G3"/>
  </mergeCells>
  <pageMargins left="0.25" right="0.25" top="0.75" bottom="0.75" header="0.3" footer="0.3"/>
  <pageSetup orientation="portrait" r:id="rId1"/>
  <drawing r:id="rId2"/>
  <tableParts count="4"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6"/>
  <sheetViews>
    <sheetView zoomScaleNormal="100" workbookViewId="0">
      <selection activeCell="H1" sqref="H1"/>
    </sheetView>
  </sheetViews>
  <sheetFormatPr defaultColWidth="12.5703125" defaultRowHeight="15" customHeight="1" x14ac:dyDescent="0.25"/>
  <cols>
    <col min="1" max="1" width="28.140625" bestFit="1" customWidth="1"/>
    <col min="2" max="2" width="10" customWidth="1"/>
    <col min="3" max="7" width="12.7109375" customWidth="1"/>
  </cols>
  <sheetData>
    <row r="1" spans="1:11" ht="24" x14ac:dyDescent="0.4">
      <c r="A1" s="43" t="s">
        <v>21</v>
      </c>
      <c r="B1" s="43"/>
      <c r="C1" s="43"/>
      <c r="D1" s="43"/>
      <c r="E1" s="43"/>
      <c r="F1" s="43"/>
      <c r="G1" s="43"/>
    </row>
    <row r="2" spans="1:11" ht="22.5" customHeight="1" x14ac:dyDescent="0.25">
      <c r="A2" s="6" t="s">
        <v>22</v>
      </c>
      <c r="B2" s="7" t="s">
        <v>2</v>
      </c>
      <c r="C2" s="7" t="s">
        <v>3</v>
      </c>
      <c r="D2" s="7" t="s">
        <v>4</v>
      </c>
      <c r="E2" s="7" t="s">
        <v>31</v>
      </c>
      <c r="F2" s="7" t="s">
        <v>32</v>
      </c>
      <c r="G2" s="8" t="s">
        <v>5</v>
      </c>
      <c r="H2" s="1"/>
      <c r="I2" s="1"/>
      <c r="J2" s="1"/>
      <c r="K2" s="1"/>
    </row>
    <row r="3" spans="1:11" ht="22.5" customHeight="1" x14ac:dyDescent="0.25">
      <c r="A3" s="9" t="s">
        <v>23</v>
      </c>
      <c r="B3" s="19" t="s">
        <v>34</v>
      </c>
      <c r="C3" s="20">
        <v>29.111573014736276</v>
      </c>
      <c r="D3" s="21">
        <v>0</v>
      </c>
      <c r="E3" s="21">
        <v>0</v>
      </c>
      <c r="F3" s="21">
        <v>0</v>
      </c>
      <c r="G3" s="22">
        <v>0.51116381778032216</v>
      </c>
      <c r="H3" s="2"/>
      <c r="I3" s="2"/>
      <c r="J3" s="2"/>
      <c r="K3" s="2"/>
    </row>
    <row r="4" spans="1:11" ht="22.5" customHeight="1" x14ac:dyDescent="0.25">
      <c r="A4" s="9" t="s">
        <v>36</v>
      </c>
      <c r="B4" s="23">
        <v>0</v>
      </c>
      <c r="C4" s="10">
        <v>3435.0600000000004</v>
      </c>
      <c r="D4" s="23">
        <v>0</v>
      </c>
      <c r="E4" s="23">
        <v>0</v>
      </c>
      <c r="F4" s="23">
        <v>0</v>
      </c>
      <c r="G4" s="24">
        <v>195632</v>
      </c>
      <c r="H4" s="2"/>
      <c r="I4" s="2"/>
      <c r="J4" s="2"/>
      <c r="K4" s="2"/>
    </row>
    <row r="5" spans="1:11" ht="22.5" customHeight="1" x14ac:dyDescent="0.25">
      <c r="A5" s="9" t="s">
        <v>35</v>
      </c>
      <c r="B5" s="23">
        <v>0</v>
      </c>
      <c r="C5" s="25">
        <v>85.876500000000007</v>
      </c>
      <c r="D5" s="25">
        <v>0</v>
      </c>
      <c r="E5" s="25">
        <v>192375.42</v>
      </c>
      <c r="F5" s="25">
        <v>3729.01</v>
      </c>
      <c r="G5" s="26">
        <v>4771.5121951219517</v>
      </c>
      <c r="H5" s="2"/>
      <c r="I5" s="2"/>
      <c r="J5" s="2"/>
      <c r="K5" s="2"/>
    </row>
    <row r="6" spans="1:11" ht="22.5" customHeight="1" x14ac:dyDescent="0.25">
      <c r="A6" s="16" t="s">
        <v>26</v>
      </c>
      <c r="B6" s="27">
        <v>0</v>
      </c>
      <c r="C6" s="28">
        <v>5.0716215617664</v>
      </c>
      <c r="D6" s="28">
        <v>0</v>
      </c>
      <c r="E6" s="28">
        <v>4386.1244870041046</v>
      </c>
      <c r="F6" s="28">
        <v>46.618452306538323</v>
      </c>
      <c r="G6" s="29">
        <v>264.64114929623196</v>
      </c>
      <c r="H6" s="2"/>
      <c r="I6" s="2"/>
      <c r="J6" s="2"/>
      <c r="K6" s="2"/>
    </row>
  </sheetData>
  <mergeCells count="1">
    <mergeCell ref="A1:G1"/>
  </mergeCells>
  <pageMargins left="0.25" right="0.25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4"/>
  <sheetViews>
    <sheetView workbookViewId="0">
      <selection activeCell="I24" sqref="I24"/>
    </sheetView>
  </sheetViews>
  <sheetFormatPr defaultColWidth="12.5703125" defaultRowHeight="15" customHeight="1" x14ac:dyDescent="0.25"/>
  <cols>
    <col min="1" max="1" width="28.28515625" bestFit="1" customWidth="1"/>
    <col min="2" max="2" width="11.140625" customWidth="1"/>
    <col min="3" max="7" width="12.28515625" customWidth="1"/>
  </cols>
  <sheetData>
    <row r="1" spans="1:7" ht="24" x14ac:dyDescent="0.4">
      <c r="A1" s="43" t="s">
        <v>27</v>
      </c>
      <c r="B1" s="43"/>
      <c r="C1" s="43"/>
      <c r="D1" s="43"/>
      <c r="E1" s="43"/>
      <c r="F1" s="43"/>
      <c r="G1" s="43"/>
    </row>
    <row r="2" spans="1:7" ht="22.5" customHeight="1" x14ac:dyDescent="0.25">
      <c r="A2" s="6" t="s">
        <v>22</v>
      </c>
      <c r="B2" s="7" t="s">
        <v>2</v>
      </c>
      <c r="C2" s="7" t="s">
        <v>3</v>
      </c>
      <c r="D2" s="7" t="s">
        <v>4</v>
      </c>
      <c r="E2" s="7" t="s">
        <v>31</v>
      </c>
      <c r="F2" s="7" t="s">
        <v>32</v>
      </c>
      <c r="G2" s="8" t="s">
        <v>5</v>
      </c>
    </row>
    <row r="3" spans="1:7" ht="22.5" customHeight="1" x14ac:dyDescent="0.25">
      <c r="A3" s="9" t="s">
        <v>28</v>
      </c>
      <c r="B3" s="21">
        <v>0</v>
      </c>
      <c r="C3" s="21">
        <v>0.22222222222222221</v>
      </c>
      <c r="D3" s="21">
        <v>0</v>
      </c>
      <c r="E3" s="21">
        <v>0</v>
      </c>
      <c r="F3" s="21">
        <v>0</v>
      </c>
      <c r="G3" s="30">
        <v>7.6923076923076927E-2</v>
      </c>
    </row>
    <row r="4" spans="1:7" ht="22.5" customHeight="1" x14ac:dyDescent="0.25">
      <c r="A4" s="16" t="s">
        <v>29</v>
      </c>
      <c r="B4" s="31">
        <v>0</v>
      </c>
      <c r="C4" s="31">
        <v>16.932749999999999</v>
      </c>
      <c r="D4" s="31">
        <v>0</v>
      </c>
      <c r="E4" s="31">
        <v>43.86</v>
      </c>
      <c r="F4" s="31">
        <v>79.989999999999995</v>
      </c>
      <c r="G4" s="32">
        <v>18.03012195121951</v>
      </c>
    </row>
  </sheetData>
  <mergeCells count="1">
    <mergeCell ref="A1:G1"/>
  </mergeCells>
  <pageMargins left="0.25" right="0.25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Cost Effectiveness</vt:lpstr>
      <vt:lpstr>Productivity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cp:lastPrinted>2025-12-10T18:06:00Z</cp:lastPrinted>
  <dcterms:created xsi:type="dcterms:W3CDTF">2025-08-21T18:58:08Z</dcterms:created>
  <dcterms:modified xsi:type="dcterms:W3CDTF">2025-12-10T18:07:03Z</dcterms:modified>
</cp:coreProperties>
</file>